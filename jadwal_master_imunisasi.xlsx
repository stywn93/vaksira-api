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Applications/ServBay/www/vaksira-api/"/>
    </mc:Choice>
  </mc:AlternateContent>
  <xr:revisionPtr revIDLastSave="0" documentId="13_ncr:1_{47A74940-122D-F645-96F4-BBB504316B88}" xr6:coauthVersionLast="47" xr6:coauthVersionMax="47" xr10:uidLastSave="{00000000-0000-0000-0000-000000000000}"/>
  <bookViews>
    <workbookView xWindow="3300" yWindow="-21000" windowWidth="31440" windowHeight="19300" tabRatio="500" activeTab="2" xr2:uid="{00000000-000D-0000-FFFF-FFFF00000000}"/>
  </bookViews>
  <sheets>
    <sheet name="Petunjuk" sheetId="1" r:id="rId1"/>
    <sheet name="Jadwal Master" sheetId="2" r:id="rId2"/>
    <sheet name="Sheet1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3" l="1"/>
  <c r="D5" i="3"/>
  <c r="D4" i="3"/>
  <c r="F23" i="3"/>
  <c r="E23" i="3"/>
  <c r="G23" i="3"/>
  <c r="G22" i="3"/>
  <c r="H23" i="3"/>
  <c r="H22" i="3"/>
  <c r="F22" i="3"/>
  <c r="E22" i="3"/>
  <c r="H21" i="3"/>
  <c r="G21" i="3"/>
  <c r="F21" i="3"/>
  <c r="H20" i="3"/>
  <c r="G20" i="3"/>
  <c r="H19" i="3"/>
  <c r="G19" i="3"/>
  <c r="F19" i="3"/>
  <c r="E19" i="3"/>
  <c r="H18" i="3"/>
  <c r="G18" i="3"/>
  <c r="F18" i="3"/>
  <c r="E18" i="3"/>
  <c r="F17" i="3"/>
  <c r="H16" i="3"/>
  <c r="G16" i="3"/>
  <c r="F16" i="3"/>
  <c r="H15" i="3"/>
  <c r="G15" i="3"/>
  <c r="F15" i="3"/>
  <c r="E16" i="3"/>
  <c r="H14" i="3"/>
  <c r="G14" i="3"/>
  <c r="F14" i="3"/>
  <c r="H13" i="3"/>
  <c r="G13" i="3"/>
  <c r="F13" i="3"/>
  <c r="E13" i="3"/>
  <c r="E21" i="3" s="1"/>
  <c r="F12" i="3"/>
  <c r="H11" i="3"/>
  <c r="G11" i="3"/>
  <c r="F11" i="3"/>
  <c r="E10" i="3"/>
  <c r="E14" i="3" s="1"/>
  <c r="H10" i="3"/>
  <c r="F10" i="3"/>
  <c r="H9" i="3"/>
  <c r="G9" i="3"/>
  <c r="E9" i="3"/>
  <c r="F9" i="3"/>
  <c r="F8" i="3"/>
  <c r="E8" i="3"/>
  <c r="E12" i="3" s="1"/>
  <c r="E17" i="3" s="1"/>
  <c r="H7" i="3"/>
  <c r="G7" i="3"/>
  <c r="F7" i="3"/>
  <c r="H6" i="3"/>
  <c r="G6" i="3"/>
  <c r="H5" i="3"/>
  <c r="G5" i="3"/>
  <c r="F6" i="3"/>
  <c r="E6" i="3"/>
  <c r="F5" i="3"/>
  <c r="E5" i="3"/>
  <c r="E7" i="3" s="1"/>
  <c r="E11" i="3" s="1"/>
  <c r="E15" i="3" s="1"/>
  <c r="F4" i="3"/>
  <c r="E4" i="3"/>
  <c r="D20" i="3"/>
  <c r="C20" i="3"/>
  <c r="D18" i="3"/>
  <c r="C18" i="3"/>
  <c r="D23" i="3" s="1"/>
  <c r="D16" i="3"/>
  <c r="C16" i="3"/>
  <c r="C19" i="3" s="1"/>
  <c r="D9" i="3"/>
  <c r="C9" i="3"/>
  <c r="D13" i="3" s="1"/>
  <c r="D6" i="3"/>
  <c r="C6" i="3"/>
  <c r="D10" i="3" s="1"/>
  <c r="C8" i="3"/>
  <c r="D12" i="3" s="1"/>
  <c r="C5" i="3"/>
  <c r="C7" i="3" s="1"/>
  <c r="C4" i="3"/>
  <c r="C3" i="3"/>
  <c r="D3" i="3" s="1"/>
  <c r="D19" i="3" l="1"/>
  <c r="C12" i="3"/>
  <c r="D17" i="3" s="1"/>
  <c r="C23" i="3"/>
  <c r="C13" i="3"/>
  <c r="D7" i="3"/>
  <c r="D11" i="3"/>
  <c r="C11" i="3"/>
  <c r="C10" i="3"/>
  <c r="C17" i="3"/>
  <c r="D8" i="3"/>
  <c r="D21" i="3" l="1"/>
  <c r="C21" i="3"/>
  <c r="D14" i="3"/>
  <c r="C14" i="3"/>
  <c r="C15" i="3"/>
  <c r="D15" i="3"/>
  <c r="D22" i="3" l="1"/>
  <c r="C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7" authorId="0" shapeId="0" xr:uid="{2F7FF248-4E51-254F-BC95-ADBF196BFF8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minimal 1 bulan dari dosis sebelumnya
</t>
        </r>
      </text>
    </comment>
  </commentList>
</comments>
</file>

<file path=xl/sharedStrings.xml><?xml version="1.0" encoding="utf-8"?>
<sst xmlns="http://schemas.openxmlformats.org/spreadsheetml/2006/main" count="126" uniqueCount="90">
  <si>
    <t>Template Jadwal Master Imunisasi</t>
  </si>
  <si>
    <t>Diisi berdasarkan Buku KIA / Permenkes jadwal imunisasi terbaru — cocokkan tiap baris ke sumber resmi sebelum dipakai di aplikasi.</t>
  </si>
  <si>
    <t>Cara pakai:</t>
  </si>
  <si>
    <t>1.</t>
  </si>
  <si>
    <t>Sheet 'Jadwal Master' sudah berisi daftar nama antigen &amp; urutan dosis (dibaca dari foto kartu Pelayanan Imunisasi Buku KIA).</t>
  </si>
  <si>
    <t>2.</t>
  </si>
  <si>
    <t>Kolom kuning WAJIB kamu isi/verifikasi sambil melihat buku KIA fisik atau Permenkes — jangan percaya angka yang sudah ada, karena baris contoh (hijau) bukan data nyata.</t>
  </si>
  <si>
    <t>3.</t>
  </si>
  <si>
    <t>Satu baris = satu dosis. Untuk vaksin multi-dosis (DPT-HB-Hib, Polio, PCV, Rotavirus, IPV), isi 'Interval Min dari Dosis Sebelumnya' — ini dipakai untuk menghitung ulang jadwal dosis berikutnya kalau dosis sebelumnya telat.</t>
  </si>
  <si>
    <t>4.</t>
  </si>
  <si>
    <t>Kolom 'Sumber/Referensi' isi halaman buku KIA atau nomor Permenkes yang jadi acuan baris tersebut — penting untuk audit kalau ada revisi jadwal nasional di masa depan.</t>
  </si>
  <si>
    <t>Arti 4 kategori warna di kartu Buku KIA (jadi dasar kolom di sheet Jadwal Master):</t>
  </si>
  <si>
    <t>Putih</t>
  </si>
  <si>
    <t>Usia Ideal</t>
  </si>
  <si>
    <t>Usia tepat pemberian → pesan reminder: 'Waktunya imunisasi X sekarang'</t>
  </si>
  <si>
    <t>Oranye</t>
  </si>
  <si>
    <t>Boleh Susulan</t>
  </si>
  <si>
    <t>Masih dalam batas wajar melengkapi → pesan reminder: 'Masih bisa, segera lengkapi imunisasi X'</t>
  </si>
  <si>
    <t>Pink</t>
  </si>
  <si>
    <t>Imunisasi Kejar</t>
  </si>
  <si>
    <t>Sudah lewat jadwal normal, belum lengkap → pesan reminder: 'Terlambat, ini imunisasi kejar, segera ke faskes'</t>
  </si>
  <si>
    <t>Abu-abu</t>
  </si>
  <si>
    <t>Tidak Diperbolehkan</t>
  </si>
  <si>
    <t>Di luar rentang usia yang diizinkan sama sekali → tidak ada reminder</t>
  </si>
  <si>
    <t>Penjelasan kolom di sheet 'Jadwal Master':</t>
  </si>
  <si>
    <t>Nama Antigen</t>
  </si>
  <si>
    <t>Sudah terisi dari foto kartu imunisasi. Cek ejaan/kelengkapan bila perlu.</t>
  </si>
  <si>
    <t>Urutan Dosis</t>
  </si>
  <si>
    <t>Ke berapa dosis ini dalam seri vaksin tsb (1, 2, 3, ...). Vaksin dosis tunggal = 1.</t>
  </si>
  <si>
    <t>Usia Ideal Min/Max (hari)</t>
  </si>
  <si>
    <t>Rentang usia 'Putih' pada kartu, dikonversi ke satuan HARI (bukan bulan) supaya perhitungan presisi.</t>
  </si>
  <si>
    <t>Usia Boleh Susulan Max (hari)</t>
  </si>
  <si>
    <t>Batas akhir zona 'Oranye' — akhir masa masih dianggap 'melengkapi', belum kejar.</t>
  </si>
  <si>
    <t>Usia Kejar Max (hari)</t>
  </si>
  <si>
    <t>Batas akhir zona 'Pink', jika ada. Kosongkan jika vaksin tsb tidak punya batas usia kejar (tetap dianjurkan berapa pun usianya) — tandai di kolom Kategori Setelah Lewat.</t>
  </si>
  <si>
    <t>Interval Min dari Dosis Sebelumnya (hari)</t>
  </si>
  <si>
    <t>Jarak minimum wajib dari dosis sebelumnya (isi HANYA untuk dosis ke-2, ke-3, dst). Kosongkan untuk dosis 1 / vaksin tunggal.</t>
  </si>
  <si>
    <t>Kategori Setelah Lewat</t>
  </si>
  <si>
    <t>Pilih dari dropdown: 'kejar' (masih dianjurkan meski lewat jadwal) atau 'kadaluarsa' (tidak dianjurkan lagi di luar rentang).</t>
  </si>
  <si>
    <t>Sumber/Referensi</t>
  </si>
  <si>
    <t>Halaman Buku KIA / nomor Permenkes yang jadi acuan baris ini.</t>
  </si>
  <si>
    <t>Catatan</t>
  </si>
  <si>
    <t>Info tambahan, misal 'JE hanya di provinsi/kab percontohan'.</t>
  </si>
  <si>
    <t>Jadwal Master Imunisasi Dasar &amp; Lanjutan</t>
  </si>
  <si>
    <t>No</t>
  </si>
  <si>
    <t>Urutan
Dosis</t>
  </si>
  <si>
    <t>Usia Ideal
Min (hari)</t>
  </si>
  <si>
    <t>Usia Ideal
Max (hari)</t>
  </si>
  <si>
    <t>Usia Boleh
Susulan Max (hari)</t>
  </si>
  <si>
    <t>Usia Kejar
Max (hari)</t>
  </si>
  <si>
    <t>Interval Min dari
Dosis Sebelumnya (hari)</t>
  </si>
  <si>
    <t>Kategori
Setelah Lewat</t>
  </si>
  <si>
    <t>Sumber / Referensi</t>
  </si>
  <si>
    <t>Contoh</t>
  </si>
  <si>
    <t>Vaksin Contoh (bukan data nyata)</t>
  </si>
  <si>
    <t>kejar</t>
  </si>
  <si>
    <t>Buku KIA hal. ..</t>
  </si>
  <si>
    <t>Ini baris contoh, hapus setelah paham formatnya</t>
  </si>
  <si>
    <t>Hepatitis B (&lt;24 Jam)</t>
  </si>
  <si>
    <t>BCG</t>
  </si>
  <si>
    <t>Polio Tetes 1</t>
  </si>
  <si>
    <t>DPT-HB-Hib 1</t>
  </si>
  <si>
    <t>Polio Tetes 2</t>
  </si>
  <si>
    <t>Rotavirus (RV) 1</t>
  </si>
  <si>
    <t>PCV 1</t>
  </si>
  <si>
    <t>DPT-HB-Hib 2</t>
  </si>
  <si>
    <t>Polio Tetes 3</t>
  </si>
  <si>
    <t>Rotavirus (RV) 2</t>
  </si>
  <si>
    <t>PCV 2</t>
  </si>
  <si>
    <t>DPT-HB-Hib 3</t>
  </si>
  <si>
    <t>Polio Tetes 4</t>
  </si>
  <si>
    <t>Polio Suntik (IPV) 1</t>
  </si>
  <si>
    <t>Rotavirus (RV) 3</t>
  </si>
  <si>
    <t>Campak - Rubella (MR)</t>
  </si>
  <si>
    <t>Polio Suntik (IPV) 2</t>
  </si>
  <si>
    <t>Japanese Encephalitis (JE)*</t>
  </si>
  <si>
    <t>PCV 3</t>
  </si>
  <si>
    <t>DPT-HB-Hib Lanjutan</t>
  </si>
  <si>
    <t>Campak Rubella (MR) Lanjutan</t>
  </si>
  <si>
    <t>* JE baru diberikan di beberapa provinsi/kabupaten-kota percontohan (belum nasional).</t>
  </si>
  <si>
    <t>Jenis Vaksin</t>
  </si>
  <si>
    <t>Tanggal Pemberian</t>
  </si>
  <si>
    <t>Tanggal Lahir</t>
  </si>
  <si>
    <t>Awal Ideal</t>
  </si>
  <si>
    <t>Akhir Ideal</t>
  </si>
  <si>
    <t>Awal Susulan</t>
  </si>
  <si>
    <t>Akhir Susulan</t>
  </si>
  <si>
    <t>Awal Kejar</t>
  </si>
  <si>
    <t>Akhir Kejar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</si>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</sst>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\ mmmm\ yyyy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10"/>
      <color rgb="FF55555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FBD9A8"/>
        <bgColor rgb="FFF4CCCC"/>
      </patternFill>
    </fill>
    <fill>
      <patternFill patternType="solid">
        <fgColor rgb="FFF4CCCC"/>
        <bgColor rgb="FFFBD9A8"/>
      </patternFill>
    </fill>
    <fill>
      <patternFill patternType="solid">
        <fgColor rgb="FFBFBFBF"/>
        <bgColor rgb="FFCCCCCC"/>
      </patternFill>
    </fill>
    <fill>
      <patternFill patternType="solid">
        <fgColor rgb="FF4A4A4A"/>
        <bgColor rgb="FF555555"/>
      </patternFill>
    </fill>
    <fill>
      <patternFill patternType="solid">
        <fgColor rgb="FFD9EAD3"/>
        <bgColor rgb="FFEFEFEF"/>
      </patternFill>
    </fill>
    <fill>
      <patternFill patternType="solid">
        <fgColor rgb="FFEFEFEF"/>
        <bgColor rgb="FFD9EAD3"/>
      </patternFill>
    </fill>
    <fill>
      <patternFill patternType="solid">
        <fgColor rgb="FFFFF6C9"/>
        <bgColor rgb="FFEFEFE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8" borderId="1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172" fontId="0" fillId="0" borderId="0" xfId="0" applyNumberFormat="1"/>
    <xf numFmtId="172" fontId="0" fillId="0" borderId="0" xfId="0" applyNumberFormat="1" applyAlignment="1">
      <alignment horizontal="center"/>
    </xf>
    <xf numFmtId="172" fontId="0" fillId="0" borderId="0" xfId="0" applyNumberFormat="1" applyFill="1"/>
    <xf numFmtId="172" fontId="0" fillId="0" borderId="0" xfId="0" applyNumberFormat="1" applyFill="1" applyAlignment="1">
      <alignment horizontal="center"/>
    </xf>
    <xf numFmtId="0" fontId="1" fillId="10" borderId="1" xfId="0" applyFont="1" applyFill="1" applyBorder="1"/>
    <xf numFmtId="172" fontId="0" fillId="10" borderId="0" xfId="0" applyNumberFormat="1" applyFill="1"/>
    <xf numFmtId="0" fontId="1" fillId="10" borderId="2" xfId="0" applyFont="1" applyFill="1" applyBorder="1"/>
    <xf numFmtId="0" fontId="1" fillId="11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C9"/>
      <rgbColor rgb="FFEFEFE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CCCC"/>
      <rgbColor rgb="FFCC99FF"/>
      <rgbColor rgb="FFFBD9A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showGridLines="0" zoomScale="165" zoomScaleNormal="100" workbookViewId="0">
      <selection activeCell="C8" sqref="C8:H8"/>
    </sheetView>
  </sheetViews>
  <sheetFormatPr baseColWidth="10" defaultColWidth="8.6640625" defaultRowHeight="15" x14ac:dyDescent="0.2"/>
  <cols>
    <col min="1" max="1" width="2" customWidth="1"/>
    <col min="2" max="8" width="16" customWidth="1"/>
  </cols>
  <sheetData>
    <row r="2" spans="2:8" ht="18" x14ac:dyDescent="0.2">
      <c r="B2" s="6" t="s">
        <v>0</v>
      </c>
    </row>
    <row r="3" spans="2:8" ht="15" customHeight="1" x14ac:dyDescent="0.2">
      <c r="B3" s="5" t="s">
        <v>1</v>
      </c>
      <c r="C3" s="5"/>
      <c r="D3" s="5"/>
      <c r="E3" s="5"/>
      <c r="F3" s="5"/>
      <c r="G3" s="5"/>
      <c r="H3" s="5"/>
    </row>
    <row r="5" spans="2:8" x14ac:dyDescent="0.2">
      <c r="B5" s="7"/>
      <c r="C5" s="4"/>
      <c r="D5" s="4"/>
      <c r="E5" s="4"/>
      <c r="F5" s="4"/>
      <c r="G5" s="4"/>
      <c r="H5" s="4"/>
    </row>
    <row r="6" spans="2:8" x14ac:dyDescent="0.2">
      <c r="B6" s="8" t="s">
        <v>2</v>
      </c>
      <c r="C6" s="4"/>
      <c r="D6" s="4"/>
      <c r="E6" s="4"/>
      <c r="F6" s="4"/>
      <c r="G6" s="4"/>
      <c r="H6" s="4"/>
    </row>
    <row r="7" spans="2:8" ht="23.75" customHeight="1" x14ac:dyDescent="0.2">
      <c r="B7" s="7" t="s">
        <v>3</v>
      </c>
      <c r="C7" s="4" t="s">
        <v>4</v>
      </c>
      <c r="D7" s="4"/>
      <c r="E7" s="4"/>
      <c r="F7" s="4"/>
      <c r="G7" s="4"/>
      <c r="H7" s="4"/>
    </row>
    <row r="8" spans="2:8" ht="29" customHeight="1" x14ac:dyDescent="0.2">
      <c r="B8" s="7" t="s">
        <v>5</v>
      </c>
      <c r="C8" s="4" t="s">
        <v>6</v>
      </c>
      <c r="D8" s="4"/>
      <c r="E8" s="4"/>
      <c r="F8" s="4"/>
      <c r="G8" s="4"/>
      <c r="H8" s="4"/>
    </row>
    <row r="9" spans="2:8" ht="27" customHeight="1" x14ac:dyDescent="0.2">
      <c r="B9" s="7" t="s">
        <v>7</v>
      </c>
      <c r="C9" s="4" t="s">
        <v>8</v>
      </c>
      <c r="D9" s="4"/>
      <c r="E9" s="4"/>
      <c r="F9" s="4"/>
      <c r="G9" s="4"/>
      <c r="H9" s="4"/>
    </row>
    <row r="10" spans="2:8" ht="27" customHeight="1" x14ac:dyDescent="0.2">
      <c r="B10" s="7" t="s">
        <v>9</v>
      </c>
      <c r="C10" s="4" t="s">
        <v>10</v>
      </c>
      <c r="D10" s="4"/>
      <c r="E10" s="4"/>
      <c r="F10" s="4"/>
      <c r="G10" s="4"/>
      <c r="H10" s="4"/>
    </row>
    <row r="11" spans="2:8" x14ac:dyDescent="0.2">
      <c r="B11" s="7"/>
      <c r="C11" s="4"/>
      <c r="D11" s="4"/>
      <c r="E11" s="4"/>
      <c r="F11" s="4"/>
      <c r="G11" s="4"/>
      <c r="H11" s="4"/>
    </row>
    <row r="12" spans="2:8" x14ac:dyDescent="0.2">
      <c r="B12" s="8" t="s">
        <v>11</v>
      </c>
      <c r="C12" s="4"/>
      <c r="D12" s="4"/>
      <c r="E12" s="4"/>
      <c r="F12" s="4"/>
      <c r="G12" s="4"/>
      <c r="H12" s="4"/>
    </row>
    <row r="14" spans="2:8" ht="15" customHeight="1" x14ac:dyDescent="0.2">
      <c r="B14" s="9"/>
      <c r="C14" s="8" t="s">
        <v>12</v>
      </c>
      <c r="D14" s="7" t="s">
        <v>13</v>
      </c>
      <c r="E14" s="4" t="s">
        <v>14</v>
      </c>
      <c r="F14" s="4"/>
      <c r="G14" s="4"/>
      <c r="H14" s="4"/>
    </row>
    <row r="15" spans="2:8" ht="23.75" customHeight="1" x14ac:dyDescent="0.2">
      <c r="B15" s="10"/>
      <c r="C15" s="8" t="s">
        <v>15</v>
      </c>
      <c r="D15" s="7" t="s">
        <v>16</v>
      </c>
      <c r="E15" s="4" t="s">
        <v>17</v>
      </c>
      <c r="F15" s="4"/>
      <c r="G15" s="4"/>
      <c r="H15" s="4"/>
    </row>
    <row r="16" spans="2:8" ht="23.75" customHeight="1" x14ac:dyDescent="0.2">
      <c r="B16" s="11"/>
      <c r="C16" s="8" t="s">
        <v>18</v>
      </c>
      <c r="D16" s="7" t="s">
        <v>19</v>
      </c>
      <c r="E16" s="4" t="s">
        <v>20</v>
      </c>
      <c r="F16" s="4"/>
      <c r="G16" s="4"/>
      <c r="H16" s="4"/>
    </row>
    <row r="17" spans="2:8" ht="15" customHeight="1" x14ac:dyDescent="0.2">
      <c r="B17" s="12"/>
      <c r="C17" s="8" t="s">
        <v>21</v>
      </c>
      <c r="D17" s="7" t="s">
        <v>22</v>
      </c>
      <c r="E17" s="4" t="s">
        <v>23</v>
      </c>
      <c r="F17" s="4"/>
      <c r="G17" s="4"/>
      <c r="H17" s="4"/>
    </row>
    <row r="19" spans="2:8" x14ac:dyDescent="0.2">
      <c r="B19" s="8" t="s">
        <v>24</v>
      </c>
    </row>
    <row r="20" spans="2:8" ht="15" customHeight="1" x14ac:dyDescent="0.2">
      <c r="B20" s="3" t="s">
        <v>25</v>
      </c>
      <c r="C20" s="3"/>
      <c r="D20" s="4" t="s">
        <v>26</v>
      </c>
      <c r="E20" s="4"/>
      <c r="F20" s="4"/>
      <c r="G20" s="4"/>
      <c r="H20" s="4"/>
    </row>
    <row r="21" spans="2:8" ht="15" customHeight="1" x14ac:dyDescent="0.2">
      <c r="B21" s="3" t="s">
        <v>27</v>
      </c>
      <c r="C21" s="3"/>
      <c r="D21" s="4" t="s">
        <v>28</v>
      </c>
      <c r="E21" s="4"/>
      <c r="F21" s="4"/>
      <c r="G21" s="4"/>
      <c r="H21" s="4"/>
    </row>
    <row r="22" spans="2:8" ht="23.75" customHeight="1" x14ac:dyDescent="0.2">
      <c r="B22" s="3" t="s">
        <v>29</v>
      </c>
      <c r="C22" s="3"/>
      <c r="D22" s="4" t="s">
        <v>30</v>
      </c>
      <c r="E22" s="4"/>
      <c r="F22" s="4"/>
      <c r="G22" s="4"/>
      <c r="H22" s="4"/>
    </row>
    <row r="23" spans="2:8" ht="15" customHeight="1" x14ac:dyDescent="0.2">
      <c r="B23" s="3" t="s">
        <v>31</v>
      </c>
      <c r="C23" s="3"/>
      <c r="D23" s="4" t="s">
        <v>32</v>
      </c>
      <c r="E23" s="4"/>
      <c r="F23" s="4"/>
      <c r="G23" s="4"/>
      <c r="H23" s="4"/>
    </row>
    <row r="24" spans="2:8" ht="23.75" customHeight="1" x14ac:dyDescent="0.2">
      <c r="B24" s="3" t="s">
        <v>33</v>
      </c>
      <c r="C24" s="3"/>
      <c r="D24" s="4" t="s">
        <v>34</v>
      </c>
      <c r="E24" s="4"/>
      <c r="F24" s="4"/>
      <c r="G24" s="4"/>
      <c r="H24" s="4"/>
    </row>
    <row r="25" spans="2:8" ht="23.75" customHeight="1" x14ac:dyDescent="0.2">
      <c r="B25" s="3" t="s">
        <v>35</v>
      </c>
      <c r="C25" s="3"/>
      <c r="D25" s="4" t="s">
        <v>36</v>
      </c>
      <c r="E25" s="4"/>
      <c r="F25" s="4"/>
      <c r="G25" s="4"/>
      <c r="H25" s="4"/>
    </row>
    <row r="26" spans="2:8" ht="23.75" customHeight="1" x14ac:dyDescent="0.2">
      <c r="B26" s="3" t="s">
        <v>37</v>
      </c>
      <c r="C26" s="3"/>
      <c r="D26" s="4" t="s">
        <v>38</v>
      </c>
      <c r="E26" s="4"/>
      <c r="F26" s="4"/>
      <c r="G26" s="4"/>
      <c r="H26" s="4"/>
    </row>
    <row r="27" spans="2:8" ht="15" customHeight="1" x14ac:dyDescent="0.2">
      <c r="B27" s="3" t="s">
        <v>39</v>
      </c>
      <c r="C27" s="3"/>
      <c r="D27" s="4" t="s">
        <v>40</v>
      </c>
      <c r="E27" s="4"/>
      <c r="F27" s="4"/>
      <c r="G27" s="4"/>
      <c r="H27" s="4"/>
    </row>
    <row r="28" spans="2:8" ht="15" customHeight="1" x14ac:dyDescent="0.2">
      <c r="B28" s="3" t="s">
        <v>41</v>
      </c>
      <c r="C28" s="3"/>
      <c r="D28" s="4" t="s">
        <v>42</v>
      </c>
      <c r="E28" s="4"/>
      <c r="F28" s="4"/>
      <c r="G28" s="4"/>
      <c r="H28" s="4"/>
    </row>
  </sheetData>
  <mergeCells count="31">
    <mergeCell ref="B27:C27"/>
    <mergeCell ref="D27:H27"/>
    <mergeCell ref="B28:C28"/>
    <mergeCell ref="D28:H28"/>
    <mergeCell ref="B24:C24"/>
    <mergeCell ref="D24:H24"/>
    <mergeCell ref="B25:C25"/>
    <mergeCell ref="D25:H25"/>
    <mergeCell ref="B26:C26"/>
    <mergeCell ref="D26:H26"/>
    <mergeCell ref="B21:C21"/>
    <mergeCell ref="D21:H21"/>
    <mergeCell ref="B22:C22"/>
    <mergeCell ref="D22:H22"/>
    <mergeCell ref="B23:C23"/>
    <mergeCell ref="D23:H23"/>
    <mergeCell ref="E15:H15"/>
    <mergeCell ref="E16:H16"/>
    <mergeCell ref="E17:H17"/>
    <mergeCell ref="B20:C20"/>
    <mergeCell ref="D20:H20"/>
    <mergeCell ref="C9:H9"/>
    <mergeCell ref="C10:H10"/>
    <mergeCell ref="C11:H11"/>
    <mergeCell ref="C12:H12"/>
    <mergeCell ref="E14:H14"/>
    <mergeCell ref="B3:H3"/>
    <mergeCell ref="C5:H5"/>
    <mergeCell ref="C6:H6"/>
    <mergeCell ref="C7:H7"/>
    <mergeCell ref="C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showGridLines="0" zoomScale="159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:B25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8" customWidth="1"/>
    <col min="4" max="5" width="11" customWidth="1"/>
    <col min="6" max="6" width="13" customWidth="1"/>
    <col min="7" max="7" width="11" customWidth="1"/>
    <col min="8" max="8" width="15" customWidth="1"/>
    <col min="9" max="9" width="12" customWidth="1"/>
    <col min="10" max="10" width="20" customWidth="1"/>
    <col min="11" max="11" width="24" customWidth="1"/>
  </cols>
  <sheetData>
    <row r="1" spans="1:11" ht="18" x14ac:dyDescent="0.2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31.5" customHeight="1" x14ac:dyDescent="0.2">
      <c r="A3" s="13" t="s">
        <v>44</v>
      </c>
      <c r="B3" s="13" t="s">
        <v>25</v>
      </c>
      <c r="C3" s="13" t="s">
        <v>45</v>
      </c>
      <c r="D3" s="13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3" t="s">
        <v>51</v>
      </c>
      <c r="J3" s="13" t="s">
        <v>52</v>
      </c>
      <c r="K3" s="13" t="s">
        <v>41</v>
      </c>
    </row>
    <row r="4" spans="1:11" ht="28" x14ac:dyDescent="0.2">
      <c r="A4" s="14" t="s">
        <v>53</v>
      </c>
      <c r="B4" s="15" t="s">
        <v>54</v>
      </c>
      <c r="C4" s="14">
        <v>2</v>
      </c>
      <c r="D4" s="14">
        <v>60</v>
      </c>
      <c r="E4" s="14">
        <v>90</v>
      </c>
      <c r="F4" s="14">
        <v>120</v>
      </c>
      <c r="G4" s="14">
        <v>180</v>
      </c>
      <c r="H4" s="14">
        <v>28</v>
      </c>
      <c r="I4" s="14" t="s">
        <v>55</v>
      </c>
      <c r="J4" s="14" t="s">
        <v>56</v>
      </c>
      <c r="K4" s="15" t="s">
        <v>57</v>
      </c>
    </row>
    <row r="5" spans="1:11" x14ac:dyDescent="0.2">
      <c r="A5" s="16">
        <v>1</v>
      </c>
      <c r="B5" s="17" t="s">
        <v>58</v>
      </c>
      <c r="C5" s="17">
        <v>1</v>
      </c>
      <c r="D5" s="18"/>
      <c r="E5" s="18"/>
      <c r="F5" s="18"/>
      <c r="G5" s="18"/>
      <c r="H5" s="18"/>
      <c r="I5" s="18"/>
      <c r="J5" s="19"/>
      <c r="K5" s="19"/>
    </row>
    <row r="6" spans="1:11" x14ac:dyDescent="0.2">
      <c r="A6" s="16">
        <v>2</v>
      </c>
      <c r="B6" s="17" t="s">
        <v>59</v>
      </c>
      <c r="C6" s="17">
        <v>1</v>
      </c>
      <c r="D6" s="18"/>
      <c r="E6" s="18"/>
      <c r="F6" s="18"/>
      <c r="G6" s="18"/>
      <c r="H6" s="18"/>
      <c r="I6" s="18"/>
      <c r="J6" s="19"/>
      <c r="K6" s="19"/>
    </row>
    <row r="7" spans="1:11" x14ac:dyDescent="0.2">
      <c r="A7" s="16">
        <v>3</v>
      </c>
      <c r="B7" s="17" t="s">
        <v>60</v>
      </c>
      <c r="C7" s="17">
        <v>1</v>
      </c>
      <c r="D7" s="18"/>
      <c r="E7" s="18"/>
      <c r="F7" s="18"/>
      <c r="G7" s="18"/>
      <c r="H7" s="18"/>
      <c r="I7" s="18"/>
      <c r="J7" s="19"/>
      <c r="K7" s="19"/>
    </row>
    <row r="8" spans="1:11" x14ac:dyDescent="0.2">
      <c r="A8" s="16">
        <v>4</v>
      </c>
      <c r="B8" s="17" t="s">
        <v>61</v>
      </c>
      <c r="C8" s="17">
        <v>1</v>
      </c>
      <c r="D8" s="18"/>
      <c r="E8" s="18"/>
      <c r="F8" s="18"/>
      <c r="G8" s="18"/>
      <c r="H8" s="18"/>
      <c r="I8" s="18"/>
      <c r="J8" s="19"/>
      <c r="K8" s="19"/>
    </row>
    <row r="9" spans="1:11" x14ac:dyDescent="0.2">
      <c r="A9" s="16">
        <v>5</v>
      </c>
      <c r="B9" s="17" t="s">
        <v>62</v>
      </c>
      <c r="C9" s="17">
        <v>2</v>
      </c>
      <c r="D9" s="18"/>
      <c r="E9" s="18"/>
      <c r="F9" s="18"/>
      <c r="G9" s="18"/>
      <c r="H9" s="18"/>
      <c r="I9" s="18"/>
      <c r="J9" s="19"/>
      <c r="K9" s="19"/>
    </row>
    <row r="10" spans="1:11" x14ac:dyDescent="0.2">
      <c r="A10" s="16">
        <v>6</v>
      </c>
      <c r="B10" s="17" t="s">
        <v>63</v>
      </c>
      <c r="C10" s="17">
        <v>1</v>
      </c>
      <c r="D10" s="18"/>
      <c r="E10" s="18"/>
      <c r="F10" s="18"/>
      <c r="G10" s="18"/>
      <c r="H10" s="18"/>
      <c r="I10" s="18"/>
      <c r="J10" s="19"/>
      <c r="K10" s="19"/>
    </row>
    <row r="11" spans="1:11" x14ac:dyDescent="0.2">
      <c r="A11" s="16">
        <v>7</v>
      </c>
      <c r="B11" s="17" t="s">
        <v>64</v>
      </c>
      <c r="C11" s="17">
        <v>1</v>
      </c>
      <c r="D11" s="18"/>
      <c r="E11" s="18"/>
      <c r="F11" s="18"/>
      <c r="G11" s="18"/>
      <c r="H11" s="18"/>
      <c r="I11" s="18"/>
      <c r="J11" s="19"/>
      <c r="K11" s="19"/>
    </row>
    <row r="12" spans="1:11" x14ac:dyDescent="0.2">
      <c r="A12" s="16">
        <v>8</v>
      </c>
      <c r="B12" s="17" t="s">
        <v>65</v>
      </c>
      <c r="C12" s="17">
        <v>2</v>
      </c>
      <c r="D12" s="18"/>
      <c r="E12" s="18"/>
      <c r="F12" s="18"/>
      <c r="G12" s="18"/>
      <c r="H12" s="18"/>
      <c r="I12" s="18"/>
      <c r="J12" s="19"/>
      <c r="K12" s="19"/>
    </row>
    <row r="13" spans="1:11" x14ac:dyDescent="0.2">
      <c r="A13" s="16">
        <v>9</v>
      </c>
      <c r="B13" s="17" t="s">
        <v>66</v>
      </c>
      <c r="C13" s="17">
        <v>3</v>
      </c>
      <c r="D13" s="18"/>
      <c r="E13" s="18"/>
      <c r="F13" s="18"/>
      <c r="G13" s="18"/>
      <c r="H13" s="18"/>
      <c r="I13" s="18"/>
      <c r="J13" s="19"/>
      <c r="K13" s="19"/>
    </row>
    <row r="14" spans="1:11" x14ac:dyDescent="0.2">
      <c r="A14" s="16">
        <v>10</v>
      </c>
      <c r="B14" s="17" t="s">
        <v>67</v>
      </c>
      <c r="C14" s="17">
        <v>2</v>
      </c>
      <c r="D14" s="18"/>
      <c r="E14" s="18"/>
      <c r="F14" s="18"/>
      <c r="G14" s="18"/>
      <c r="H14" s="18"/>
      <c r="I14" s="18"/>
      <c r="J14" s="19"/>
      <c r="K14" s="19"/>
    </row>
    <row r="15" spans="1:11" x14ac:dyDescent="0.2">
      <c r="A15" s="16">
        <v>11</v>
      </c>
      <c r="B15" s="17" t="s">
        <v>68</v>
      </c>
      <c r="C15" s="17">
        <v>2</v>
      </c>
      <c r="D15" s="18"/>
      <c r="E15" s="18"/>
      <c r="F15" s="18"/>
      <c r="G15" s="18"/>
      <c r="H15" s="18"/>
      <c r="I15" s="18"/>
      <c r="J15" s="19"/>
      <c r="K15" s="19"/>
    </row>
    <row r="16" spans="1:11" x14ac:dyDescent="0.2">
      <c r="A16" s="16">
        <v>12</v>
      </c>
      <c r="B16" s="17" t="s">
        <v>69</v>
      </c>
      <c r="C16" s="17">
        <v>3</v>
      </c>
      <c r="D16" s="18"/>
      <c r="E16" s="18"/>
      <c r="F16" s="18"/>
      <c r="G16" s="18"/>
      <c r="H16" s="18"/>
      <c r="I16" s="18"/>
      <c r="J16" s="19"/>
      <c r="K16" s="19"/>
    </row>
    <row r="17" spans="1:11" x14ac:dyDescent="0.2">
      <c r="A17" s="16">
        <v>13</v>
      </c>
      <c r="B17" s="17" t="s">
        <v>70</v>
      </c>
      <c r="C17" s="17">
        <v>4</v>
      </c>
      <c r="D17" s="18"/>
      <c r="E17" s="18"/>
      <c r="F17" s="18"/>
      <c r="G17" s="18"/>
      <c r="H17" s="18"/>
      <c r="I17" s="18"/>
      <c r="J17" s="19"/>
      <c r="K17" s="19"/>
    </row>
    <row r="18" spans="1:11" x14ac:dyDescent="0.2">
      <c r="A18" s="16">
        <v>14</v>
      </c>
      <c r="B18" s="17" t="s">
        <v>71</v>
      </c>
      <c r="C18" s="17">
        <v>1</v>
      </c>
      <c r="D18" s="18"/>
      <c r="E18" s="18"/>
      <c r="F18" s="18"/>
      <c r="G18" s="18"/>
      <c r="H18" s="18"/>
      <c r="I18" s="18"/>
      <c r="J18" s="19"/>
      <c r="K18" s="19"/>
    </row>
    <row r="19" spans="1:11" x14ac:dyDescent="0.2">
      <c r="A19" s="16">
        <v>15</v>
      </c>
      <c r="B19" s="17" t="s">
        <v>72</v>
      </c>
      <c r="C19" s="17">
        <v>3</v>
      </c>
      <c r="D19" s="18"/>
      <c r="E19" s="18"/>
      <c r="F19" s="18"/>
      <c r="G19" s="18"/>
      <c r="H19" s="18"/>
      <c r="I19" s="18"/>
      <c r="J19" s="19"/>
      <c r="K19" s="19"/>
    </row>
    <row r="20" spans="1:11" x14ac:dyDescent="0.2">
      <c r="A20" s="16">
        <v>16</v>
      </c>
      <c r="B20" s="17" t="s">
        <v>73</v>
      </c>
      <c r="C20" s="17">
        <v>1</v>
      </c>
      <c r="D20" s="18"/>
      <c r="E20" s="18"/>
      <c r="F20" s="18"/>
      <c r="G20" s="18"/>
      <c r="H20" s="18"/>
      <c r="I20" s="18"/>
      <c r="J20" s="19"/>
      <c r="K20" s="19"/>
    </row>
    <row r="21" spans="1:11" x14ac:dyDescent="0.2">
      <c r="A21" s="16">
        <v>17</v>
      </c>
      <c r="B21" s="17" t="s">
        <v>74</v>
      </c>
      <c r="C21" s="17">
        <v>2</v>
      </c>
      <c r="D21" s="18"/>
      <c r="E21" s="18"/>
      <c r="F21" s="18"/>
      <c r="G21" s="18"/>
      <c r="H21" s="18"/>
      <c r="I21" s="18"/>
      <c r="J21" s="19"/>
      <c r="K21" s="19"/>
    </row>
    <row r="22" spans="1:11" x14ac:dyDescent="0.2">
      <c r="A22" s="16">
        <v>18</v>
      </c>
      <c r="B22" s="17" t="s">
        <v>75</v>
      </c>
      <c r="C22" s="17">
        <v>1</v>
      </c>
      <c r="D22" s="18"/>
      <c r="E22" s="18"/>
      <c r="F22" s="18"/>
      <c r="G22" s="18"/>
      <c r="H22" s="18"/>
      <c r="I22" s="18"/>
      <c r="J22" s="19"/>
      <c r="K22" s="19"/>
    </row>
    <row r="23" spans="1:11" x14ac:dyDescent="0.2">
      <c r="A23" s="16">
        <v>19</v>
      </c>
      <c r="B23" s="17" t="s">
        <v>76</v>
      </c>
      <c r="C23" s="17">
        <v>3</v>
      </c>
      <c r="D23" s="18"/>
      <c r="E23" s="18"/>
      <c r="F23" s="18"/>
      <c r="G23" s="18"/>
      <c r="H23" s="18"/>
      <c r="I23" s="18"/>
      <c r="J23" s="19"/>
      <c r="K23" s="19"/>
    </row>
    <row r="24" spans="1:11" x14ac:dyDescent="0.2">
      <c r="A24" s="16">
        <v>20</v>
      </c>
      <c r="B24" s="17" t="s">
        <v>77</v>
      </c>
      <c r="C24" s="17">
        <v>4</v>
      </c>
      <c r="D24" s="18"/>
      <c r="E24" s="18"/>
      <c r="F24" s="18"/>
      <c r="G24" s="18"/>
      <c r="H24" s="18"/>
      <c r="I24" s="18"/>
      <c r="J24" s="19"/>
      <c r="K24" s="19"/>
    </row>
    <row r="25" spans="1:11" x14ac:dyDescent="0.2">
      <c r="A25" s="16">
        <v>21</v>
      </c>
      <c r="B25" s="17" t="s">
        <v>78</v>
      </c>
      <c r="C25" s="17">
        <v>2</v>
      </c>
      <c r="D25" s="18"/>
      <c r="E25" s="18"/>
      <c r="F25" s="18"/>
      <c r="G25" s="18"/>
      <c r="H25" s="18"/>
      <c r="I25" s="18"/>
      <c r="J25" s="19"/>
      <c r="K25" s="19"/>
    </row>
    <row r="27" spans="1:11" x14ac:dyDescent="0.2">
      <c r="B27" s="1" t="s">
        <v>79</v>
      </c>
      <c r="C27" s="1"/>
      <c r="D27" s="1"/>
      <c r="E27" s="1"/>
      <c r="F27" s="1"/>
      <c r="G27" s="1"/>
      <c r="H27" s="1"/>
    </row>
  </sheetData>
  <mergeCells count="2">
    <mergeCell ref="A1:K1"/>
    <mergeCell ref="B27:H27"/>
  </mergeCells>
  <dataValidations count="1">
    <dataValidation type="list" allowBlank="1" sqref="I5:I25" xr:uid="{00000000-0002-0000-0100-000000000000}">
      <formula1>"kejar,kadaluarsa"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5359-4442-234A-863D-04BEEADF3E3A}">
  <dimension ref="A1:H23"/>
  <sheetViews>
    <sheetView tabSelected="1" zoomScale="165" workbookViewId="0">
      <selection activeCell="E10" sqref="E10"/>
    </sheetView>
  </sheetViews>
  <sheetFormatPr baseColWidth="10" defaultRowHeight="15" x14ac:dyDescent="0.2"/>
  <cols>
    <col min="1" max="1" width="25.5" bestFit="1" customWidth="1"/>
    <col min="2" max="2" width="13.6640625" bestFit="1" customWidth="1"/>
    <col min="3" max="4" width="15.6640625" bestFit="1" customWidth="1"/>
    <col min="5" max="5" width="19.1640625" customWidth="1"/>
    <col min="6" max="6" width="18.33203125" customWidth="1"/>
    <col min="7" max="7" width="15.5" bestFit="1" customWidth="1"/>
    <col min="8" max="8" width="15.6640625" bestFit="1" customWidth="1"/>
  </cols>
  <sheetData>
    <row r="1" spans="1:8" x14ac:dyDescent="0.2">
      <c r="A1" s="20"/>
      <c r="B1" s="20" t="s">
        <v>82</v>
      </c>
      <c r="C1" s="20" t="s">
        <v>81</v>
      </c>
    </row>
    <row r="2" spans="1:8" x14ac:dyDescent="0.2">
      <c r="A2" s="20" t="s">
        <v>80</v>
      </c>
      <c r="B2" s="20"/>
      <c r="C2" s="20" t="s">
        <v>83</v>
      </c>
      <c r="D2" s="20" t="s">
        <v>84</v>
      </c>
      <c r="E2" s="20" t="s">
        <v>85</v>
      </c>
      <c r="F2" s="20" t="s">
        <v>86</v>
      </c>
      <c r="G2" s="20" t="s">
        <v>87</v>
      </c>
      <c r="H2" s="20" t="s">
        <v>88</v>
      </c>
    </row>
    <row r="3" spans="1:8" x14ac:dyDescent="0.2">
      <c r="A3" s="25" t="s">
        <v>58</v>
      </c>
      <c r="B3" s="26">
        <v>43831</v>
      </c>
      <c r="C3" s="26">
        <f>B3</f>
        <v>43831</v>
      </c>
      <c r="D3" s="26">
        <f>C3</f>
        <v>43831</v>
      </c>
      <c r="E3" s="24" t="s">
        <v>89</v>
      </c>
      <c r="F3" s="24" t="s">
        <v>89</v>
      </c>
      <c r="G3" s="24" t="s">
        <v>89</v>
      </c>
      <c r="H3" s="24" t="s">
        <v>89</v>
      </c>
    </row>
    <row r="4" spans="1:8" x14ac:dyDescent="0.2">
      <c r="A4" s="27" t="s">
        <v>59</v>
      </c>
      <c r="B4" s="26"/>
      <c r="C4" s="26">
        <f>B3</f>
        <v>43831</v>
      </c>
      <c r="D4" s="26">
        <f>EDATE(B3,2)-1</f>
        <v>43890</v>
      </c>
      <c r="E4" s="23">
        <f>EDATE($B$3,2)</f>
        <v>43891</v>
      </c>
      <c r="F4" s="23">
        <f>EDATE($B$3,12)-1</f>
        <v>44196</v>
      </c>
      <c r="G4" s="24" t="s">
        <v>89</v>
      </c>
      <c r="H4" s="24" t="s">
        <v>89</v>
      </c>
    </row>
    <row r="5" spans="1:8" x14ac:dyDescent="0.2">
      <c r="A5" s="27" t="s">
        <v>60</v>
      </c>
      <c r="B5" s="26"/>
      <c r="C5" s="26">
        <f>B3</f>
        <v>43831</v>
      </c>
      <c r="D5" s="26">
        <f>EDATE(B3,2)-1</f>
        <v>43890</v>
      </c>
      <c r="E5" s="23">
        <f>EDATE($B$3,2)</f>
        <v>43891</v>
      </c>
      <c r="F5" s="23">
        <f>EDATE($B$3,12)-1</f>
        <v>44196</v>
      </c>
      <c r="G5" s="23">
        <f>EDATE($B$3,12)</f>
        <v>44197</v>
      </c>
      <c r="H5" s="23">
        <f>EDATE($B$3,60)-1</f>
        <v>45657</v>
      </c>
    </row>
    <row r="6" spans="1:8" x14ac:dyDescent="0.2">
      <c r="A6" s="27" t="s">
        <v>61</v>
      </c>
      <c r="B6" s="26"/>
      <c r="C6" s="26">
        <f>EDATE($B$3,2)</f>
        <v>43891</v>
      </c>
      <c r="D6" s="26">
        <f>EDATE($B$3,3)-1</f>
        <v>43921</v>
      </c>
      <c r="E6" s="23">
        <f>EDATE(B3,3)</f>
        <v>43922</v>
      </c>
      <c r="F6" s="23">
        <f>EDATE($B$3,12)-1</f>
        <v>44196</v>
      </c>
      <c r="G6" s="23">
        <f>EDATE($B$3,12)</f>
        <v>44197</v>
      </c>
      <c r="H6" s="23">
        <f>EDATE($B$3,60)-1</f>
        <v>45657</v>
      </c>
    </row>
    <row r="7" spans="1:8" x14ac:dyDescent="0.2">
      <c r="A7" s="27" t="s">
        <v>62</v>
      </c>
      <c r="B7" s="26"/>
      <c r="C7" s="26">
        <f>EDATE($C$5,2)</f>
        <v>43891</v>
      </c>
      <c r="D7" s="26">
        <f>EDATE($C$5,3)-1</f>
        <v>43921</v>
      </c>
      <c r="E7" s="23">
        <f>EDATE(E5,1)</f>
        <v>43922</v>
      </c>
      <c r="F7" s="23">
        <f>EDATE(B3,12)-1</f>
        <v>44196</v>
      </c>
      <c r="G7" s="23">
        <f>EDATE($B$3,12)</f>
        <v>44197</v>
      </c>
      <c r="H7" s="23">
        <f>EDATE($B$3,60)-1</f>
        <v>45657</v>
      </c>
    </row>
    <row r="8" spans="1:8" x14ac:dyDescent="0.2">
      <c r="A8" s="27" t="s">
        <v>63</v>
      </c>
      <c r="B8" s="26"/>
      <c r="C8" s="26">
        <f>EDATE(B3,2)</f>
        <v>43891</v>
      </c>
      <c r="D8" s="26">
        <f>EDATE(C3,3)-1</f>
        <v>43921</v>
      </c>
      <c r="E8" s="23">
        <f>EDATE(B3,3)</f>
        <v>43922</v>
      </c>
      <c r="F8" s="23">
        <f>EDATE(B3,7)-1</f>
        <v>44043</v>
      </c>
      <c r="G8" s="24" t="s">
        <v>89</v>
      </c>
      <c r="H8" s="24" t="s">
        <v>89</v>
      </c>
    </row>
    <row r="9" spans="1:8" x14ac:dyDescent="0.2">
      <c r="A9" s="27" t="s">
        <v>64</v>
      </c>
      <c r="B9" s="26"/>
      <c r="C9" s="26">
        <f>EDATE(B3,2)</f>
        <v>43891</v>
      </c>
      <c r="D9" s="26">
        <f>EDATE(B3,3)-1</f>
        <v>43921</v>
      </c>
      <c r="E9" s="23">
        <f>EDATE(B3,3)</f>
        <v>43922</v>
      </c>
      <c r="F9" s="23">
        <f>EDATE($B$3,12)-1</f>
        <v>44196</v>
      </c>
      <c r="G9" s="23">
        <f>EDATE($B$3,12)</f>
        <v>44197</v>
      </c>
      <c r="H9" s="23">
        <f>EDATE($B$3,60)-1</f>
        <v>45657</v>
      </c>
    </row>
    <row r="10" spans="1:8" x14ac:dyDescent="0.2">
      <c r="A10" s="27" t="s">
        <v>65</v>
      </c>
      <c r="B10" s="26"/>
      <c r="C10" s="26">
        <f>EDATE(C6,1)</f>
        <v>43922</v>
      </c>
      <c r="D10" s="26">
        <f>EDATE(C6,2)-1</f>
        <v>43951</v>
      </c>
      <c r="E10" s="23">
        <f>EDATE(E6,1)</f>
        <v>43952</v>
      </c>
      <c r="F10" s="23">
        <f>EDATE($B$3,12)-1</f>
        <v>44196</v>
      </c>
      <c r="G10" s="23">
        <f>EDATE($B$3,12)</f>
        <v>44197</v>
      </c>
      <c r="H10" s="23">
        <f>EDATE($B$3,60)-1</f>
        <v>45657</v>
      </c>
    </row>
    <row r="11" spans="1:8" x14ac:dyDescent="0.2">
      <c r="A11" s="27" t="s">
        <v>66</v>
      </c>
      <c r="B11" s="26"/>
      <c r="C11" s="26">
        <f>EDATE(C7,1)</f>
        <v>43922</v>
      </c>
      <c r="D11" s="26">
        <f>EDATE(C7,2)-1</f>
        <v>43951</v>
      </c>
      <c r="E11" s="23">
        <f>EDATE(E7,1)</f>
        <v>43952</v>
      </c>
      <c r="F11" s="23">
        <f>EDATE($B$3,12)-1</f>
        <v>44196</v>
      </c>
      <c r="G11" s="23">
        <f>EDATE($B$3,12)</f>
        <v>44197</v>
      </c>
      <c r="H11" s="23">
        <f>EDATE($B$3,60)-1</f>
        <v>45657</v>
      </c>
    </row>
    <row r="12" spans="1:8" x14ac:dyDescent="0.2">
      <c r="A12" s="28" t="s">
        <v>67</v>
      </c>
      <c r="B12" s="26"/>
      <c r="C12" s="26">
        <f>EDATE(C8,1)</f>
        <v>43922</v>
      </c>
      <c r="D12" s="26">
        <f>EDATE(C8,2)-1</f>
        <v>43951</v>
      </c>
      <c r="E12" s="21">
        <f>EDATE(E8,1)</f>
        <v>43952</v>
      </c>
      <c r="F12" s="21">
        <f>EDATE(B3,7)-1</f>
        <v>44043</v>
      </c>
      <c r="G12" s="22" t="s">
        <v>89</v>
      </c>
      <c r="H12" s="22" t="s">
        <v>89</v>
      </c>
    </row>
    <row r="13" spans="1:8" x14ac:dyDescent="0.2">
      <c r="A13" s="28" t="s">
        <v>68</v>
      </c>
      <c r="B13" s="26"/>
      <c r="C13" s="26">
        <f>EDATE(C9,1)</f>
        <v>43922</v>
      </c>
      <c r="D13" s="26">
        <f>EDATE(C9,2)-1</f>
        <v>43951</v>
      </c>
      <c r="E13" s="21">
        <f>EDATE(E9,1)</f>
        <v>43952</v>
      </c>
      <c r="F13" s="21">
        <f>EDATE($B$3,12)-1</f>
        <v>44196</v>
      </c>
      <c r="G13" s="21">
        <f>EDATE($B$3,12)</f>
        <v>44197</v>
      </c>
      <c r="H13" s="21">
        <f>EDATE($B$3,60)-1</f>
        <v>45657</v>
      </c>
    </row>
    <row r="14" spans="1:8" x14ac:dyDescent="0.2">
      <c r="A14" s="28" t="s">
        <v>69</v>
      </c>
      <c r="B14" s="26"/>
      <c r="C14" s="26">
        <f>EDATE(C10,1)</f>
        <v>43952</v>
      </c>
      <c r="D14" s="26">
        <f>EDATE(C10,2)-1</f>
        <v>43982</v>
      </c>
      <c r="E14" s="21">
        <f>EDATE(E10,1)</f>
        <v>43983</v>
      </c>
      <c r="F14" s="21">
        <f>EDATE($B$3,12)-1</f>
        <v>44196</v>
      </c>
      <c r="G14" s="21">
        <f>EDATE($B$3,12)</f>
        <v>44197</v>
      </c>
      <c r="H14" s="21">
        <f>EDATE($B$3,60)-1</f>
        <v>45657</v>
      </c>
    </row>
    <row r="15" spans="1:8" x14ac:dyDescent="0.2">
      <c r="A15" s="28" t="s">
        <v>70</v>
      </c>
      <c r="B15" s="26"/>
      <c r="C15" s="26">
        <f>EDATE(C11,1)</f>
        <v>43952</v>
      </c>
      <c r="D15" s="26">
        <f>EDATE(C11,2)-1</f>
        <v>43982</v>
      </c>
      <c r="E15" s="21">
        <f>EDATE(E11,1)</f>
        <v>43983</v>
      </c>
      <c r="F15" s="21">
        <f>EDATE($B$3,12)-1</f>
        <v>44196</v>
      </c>
      <c r="G15" s="21">
        <f>EDATE($B$3,12)</f>
        <v>44197</v>
      </c>
      <c r="H15" s="21">
        <f>EDATE($B$3,60)-1</f>
        <v>45657</v>
      </c>
    </row>
    <row r="16" spans="1:8" x14ac:dyDescent="0.2">
      <c r="A16" s="28" t="s">
        <v>71</v>
      </c>
      <c r="B16" s="26"/>
      <c r="C16" s="26">
        <f>EDATE(B3,4)</f>
        <v>43952</v>
      </c>
      <c r="D16" s="26">
        <f>EDATE(B3,5)-1</f>
        <v>43982</v>
      </c>
      <c r="E16" s="21">
        <f>EDATE(B3,5)</f>
        <v>43983</v>
      </c>
      <c r="F16" s="21">
        <f>EDATE($B$3,12)-1</f>
        <v>44196</v>
      </c>
      <c r="G16" s="21">
        <f>EDATE($B$3,12)</f>
        <v>44197</v>
      </c>
      <c r="H16" s="21">
        <f>EDATE($B$3,60)-1</f>
        <v>45657</v>
      </c>
    </row>
    <row r="17" spans="1:8" x14ac:dyDescent="0.2">
      <c r="A17" s="28" t="s">
        <v>72</v>
      </c>
      <c r="B17" s="26"/>
      <c r="C17" s="26">
        <f>EDATE(C12,1)</f>
        <v>43952</v>
      </c>
      <c r="D17" s="26">
        <f>EDATE(C12,2)-1</f>
        <v>43982</v>
      </c>
      <c r="E17" s="21">
        <f>EDATE(E12,1)</f>
        <v>43983</v>
      </c>
      <c r="F17" s="21">
        <f>EDATE(B3,7)-1</f>
        <v>44043</v>
      </c>
      <c r="G17" s="22" t="s">
        <v>89</v>
      </c>
      <c r="H17" s="22" t="s">
        <v>89</v>
      </c>
    </row>
    <row r="18" spans="1:8" x14ac:dyDescent="0.2">
      <c r="A18" s="28" t="s">
        <v>73</v>
      </c>
      <c r="B18" s="26"/>
      <c r="C18" s="26">
        <f>EDATE(B3,9)</f>
        <v>44105</v>
      </c>
      <c r="D18" s="26">
        <f>EDATE(B3,10)-1</f>
        <v>44135</v>
      </c>
      <c r="E18" s="21">
        <f>EDATE(B3,10)</f>
        <v>44136</v>
      </c>
      <c r="F18" s="21">
        <f>EDATE($B$3,12)-1</f>
        <v>44196</v>
      </c>
      <c r="G18" s="21">
        <f>EDATE($B$3,12)</f>
        <v>44197</v>
      </c>
      <c r="H18" s="21">
        <f>EDATE($B$3,60)-1</f>
        <v>45657</v>
      </c>
    </row>
    <row r="19" spans="1:8" x14ac:dyDescent="0.2">
      <c r="A19" s="28" t="s">
        <v>74</v>
      </c>
      <c r="B19" s="26"/>
      <c r="C19" s="26">
        <f>EDATE(C16,5)</f>
        <v>44105</v>
      </c>
      <c r="D19" s="26">
        <f>EDATE(C16,6)-1</f>
        <v>44135</v>
      </c>
      <c r="E19" s="21">
        <f>EDATE(E16,5)</f>
        <v>44136</v>
      </c>
      <c r="F19" s="21">
        <f>EDATE($B$3,12)-1</f>
        <v>44196</v>
      </c>
      <c r="G19" s="21">
        <f>EDATE($B$3,12)</f>
        <v>44197</v>
      </c>
      <c r="H19" s="21">
        <f>EDATE($B$3,60)-1</f>
        <v>45657</v>
      </c>
    </row>
    <row r="20" spans="1:8" x14ac:dyDescent="0.2">
      <c r="A20" s="28" t="s">
        <v>75</v>
      </c>
      <c r="B20" s="26"/>
      <c r="C20" s="26">
        <f>EDATE(B3,10)</f>
        <v>44136</v>
      </c>
      <c r="D20" s="26">
        <f>EDATE(B3,11)-1</f>
        <v>44165</v>
      </c>
      <c r="E20" s="22" t="s">
        <v>89</v>
      </c>
      <c r="F20" s="22" t="s">
        <v>89</v>
      </c>
      <c r="G20" s="21">
        <f>EDATE(B3,11)</f>
        <v>44166</v>
      </c>
      <c r="H20" s="21">
        <f>EDATE($B$3,60)-1</f>
        <v>45657</v>
      </c>
    </row>
    <row r="21" spans="1:8" x14ac:dyDescent="0.2">
      <c r="A21" s="28" t="s">
        <v>76</v>
      </c>
      <c r="B21" s="26"/>
      <c r="C21" s="26">
        <f>EDATE(C13,9)</f>
        <v>44197</v>
      </c>
      <c r="D21" s="26">
        <f>EDATE(C13,10)-1</f>
        <v>44227</v>
      </c>
      <c r="E21" s="21">
        <f>EDATE(E13,9)</f>
        <v>44228</v>
      </c>
      <c r="F21" s="21">
        <f>EDATE(B3,24)-1</f>
        <v>44561</v>
      </c>
      <c r="G21" s="21">
        <f>EDATE(B3,24)</f>
        <v>44562</v>
      </c>
      <c r="H21" s="21">
        <f>EDATE($B$3,60)-1</f>
        <v>45657</v>
      </c>
    </row>
    <row r="22" spans="1:8" x14ac:dyDescent="0.2">
      <c r="A22" s="28" t="s">
        <v>77</v>
      </c>
      <c r="B22" s="26"/>
      <c r="C22" s="26">
        <f>EDATE(C14,14)</f>
        <v>44378</v>
      </c>
      <c r="D22" s="26">
        <f>EDATE(C14,15)-1</f>
        <v>44408</v>
      </c>
      <c r="E22" s="21">
        <f>EDATE(B3,23)</f>
        <v>44531</v>
      </c>
      <c r="F22" s="21">
        <f>EDATE(B3,24)-1</f>
        <v>44561</v>
      </c>
      <c r="G22" s="21">
        <f>EDATE(B3,24)</f>
        <v>44562</v>
      </c>
      <c r="H22" s="21">
        <f t="shared" ref="H22:H23" si="0">EDATE($B$3,60)-1</f>
        <v>45657</v>
      </c>
    </row>
    <row r="23" spans="1:8" x14ac:dyDescent="0.2">
      <c r="A23" s="28" t="s">
        <v>78</v>
      </c>
      <c r="B23" s="26"/>
      <c r="C23" s="26">
        <f>EDATE(C18,9)</f>
        <v>44378</v>
      </c>
      <c r="D23" s="26">
        <f>EDATE(C18,10)-1</f>
        <v>44408</v>
      </c>
      <c r="E23" s="21">
        <f>EDATE(B4,23)</f>
        <v>700</v>
      </c>
      <c r="F23" s="21">
        <f>EDATE(B4,24)-1</f>
        <v>730</v>
      </c>
      <c r="G23" s="21">
        <f>EDATE(B3,24)</f>
        <v>44562</v>
      </c>
      <c r="H23" s="21">
        <f t="shared" si="0"/>
        <v>45657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Jadwal 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2026-09-03T02:16:02Z</dcterms:created>
  <dcterms:modified xsi:type="dcterms:W3CDTF">2026-09-05T03:55:53Z</dcterms:modified>
  <dc:language>en-US</dc:language>
</cp:coreProperties>
</file>